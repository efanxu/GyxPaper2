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aperProject\GyxPaper2\outputs\01a085b8-fdd9-7110-bdf5-8cea992299af\"/>
    </mc:Choice>
  </mc:AlternateContent>
  <xr:revisionPtr revIDLastSave="0" documentId="11_00E25ACF9281B613FDBC85A45271A621625E3A4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论文表" sheetId="1" r:id="rId1"/>
    <sheet name="数据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L14" i="1"/>
  <c r="K14" i="1"/>
  <c r="J14" i="1"/>
  <c r="I14" i="1"/>
  <c r="H14" i="1"/>
  <c r="G14" i="1"/>
  <c r="F14" i="1"/>
  <c r="E14" i="1"/>
  <c r="D14" i="1"/>
  <c r="C14" i="1"/>
  <c r="B14" i="1"/>
  <c r="M13" i="1"/>
  <c r="L13" i="1"/>
  <c r="K13" i="1"/>
  <c r="J13" i="1"/>
  <c r="I13" i="1"/>
  <c r="H13" i="1"/>
  <c r="G13" i="1"/>
  <c r="F13" i="1"/>
  <c r="E13" i="1"/>
  <c r="D13" i="1"/>
  <c r="C13" i="1"/>
  <c r="B13" i="1"/>
  <c r="M12" i="1"/>
  <c r="L12" i="1"/>
  <c r="K12" i="1"/>
  <c r="J12" i="1"/>
  <c r="I12" i="1"/>
  <c r="H12" i="1"/>
  <c r="G12" i="1"/>
  <c r="F12" i="1"/>
  <c r="E12" i="1"/>
  <c r="D12" i="1"/>
  <c r="C12" i="1"/>
  <c r="B12" i="1"/>
  <c r="M11" i="1"/>
  <c r="L11" i="1"/>
  <c r="K11" i="1"/>
  <c r="J11" i="1"/>
  <c r="I11" i="1"/>
  <c r="H11" i="1"/>
  <c r="G11" i="1"/>
  <c r="F11" i="1"/>
  <c r="E11" i="1"/>
  <c r="D11" i="1"/>
  <c r="C11" i="1"/>
  <c r="B11" i="1"/>
  <c r="M10" i="1"/>
  <c r="L10" i="1"/>
  <c r="K10" i="1"/>
  <c r="J10" i="1"/>
  <c r="I10" i="1"/>
  <c r="H10" i="1"/>
  <c r="G10" i="1"/>
  <c r="F10" i="1"/>
  <c r="E10" i="1"/>
  <c r="D10" i="1"/>
  <c r="C10" i="1"/>
  <c r="B10" i="1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M6" i="1"/>
  <c r="L6" i="1"/>
  <c r="K6" i="1"/>
  <c r="J6" i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<sst xmlns="http://schemas.openxmlformats.org/spreadsheetml/2006/main" count="147" uniqueCount="42">
  <si>
    <t>表 4-2：A0–A8 组件消融实验完整测试结果</t>
  </si>
  <si>
    <t>模型/变体</t>
  </si>
  <si>
    <t>H3</t>
  </si>
  <si>
    <t>H6</t>
  </si>
  <si>
    <t>H10</t>
  </si>
  <si>
    <t>Score</t>
  </si>
  <si>
    <t>MAE</t>
  </si>
  <si>
    <t>RMSE</t>
  </si>
  <si>
    <t>R²</t>
  </si>
  <si>
    <t>A0</t>
  </si>
  <si>
    <t>A1</t>
  </si>
  <si>
    <t>A2</t>
  </si>
  <si>
    <t>A3</t>
  </si>
  <si>
    <t>A4*</t>
  </si>
  <si>
    <t>A5</t>
  </si>
  <si>
    <t>A6</t>
  </si>
  <si>
    <t>A7*</t>
  </si>
  <si>
    <t>A8</t>
  </si>
  <si>
    <t>注：Score、MAE、RMSE 越低越好，R² 越高越好；加粗表示各列最优值。* A4、A7 当前被标记为协议不一致，正式使用前应复核。</t>
  </si>
  <si>
    <t>A0–A8 组件消融实验数据明细</t>
  </si>
  <si>
    <t>来源：各变体 metrics_eval_h3/h6/h10.json；A0 由 reference.json 指向 canonical 结果。</t>
  </si>
  <si>
    <t>变体</t>
  </si>
  <si>
    <t>变体名称</t>
  </si>
  <si>
    <t>预测步长</t>
  </si>
  <si>
    <t>实验状态</t>
  </si>
  <si>
    <t>协议一致</t>
  </si>
  <si>
    <t>Canonical Full</t>
  </si>
  <si>
    <t>completed</t>
  </si>
  <si>
    <t>是</t>
  </si>
  <si>
    <t>w/o Spatial Graph</t>
  </si>
  <si>
    <t>w/o Adaptive Graph</t>
  </si>
  <si>
    <t>w/o Diffusion</t>
  </si>
  <si>
    <t>A4</t>
  </si>
  <si>
    <t>Mean-Pooling Macro Prompt</t>
  </si>
  <si>
    <t>failed_protocol_mismatch</t>
  </si>
  <si>
    <t>否</t>
  </si>
  <si>
    <t>Short-context Reverse Cross</t>
  </si>
  <si>
    <t>Additive Cross Fusion</t>
  </si>
  <si>
    <t>A7</t>
  </si>
  <si>
    <t>Temporal-Granularity Prompt</t>
  </si>
  <si>
    <t>w/o MS-MG-DWU</t>
  </si>
  <si>
    <t>提示：A4、A7 的指标文件完整，但 experiment_status.json 标记为 failed_protocol_mismatch，正式使用前应复核对应配置。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</si>
</sst>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00"/>
  </numFmts>
  <fonts count="13">
    <font>
      <sz val="11"/>
      <name val="Carlito"/>
    </font>
    <font>
      <sz val="10"/>
      <color rgb="FF111827"/>
      <name val="SimSun"/>
      <family val="3"/>
      <charset val="134"/>
    </font>
    <font>
      <b/>
      <sz val="14"/>
      <color rgb="FF111827"/>
      <name val="SimSun"/>
      <charset val="134"/>
    </font>
    <font>
      <i/>
      <sz val="9"/>
      <color rgb="FF4B5563"/>
      <name val="SimSun"/>
      <charset val="134"/>
    </font>
    <font>
      <b/>
      <sz val="10"/>
      <color rgb="FFFFFFFF"/>
      <name val="SimSun"/>
      <charset val="134"/>
    </font>
    <font>
      <b/>
      <sz val="10"/>
      <color rgb="FF8A4B08"/>
      <name val="SimSun"/>
      <charset val="134"/>
    </font>
    <font>
      <b/>
      <sz val="9"/>
      <color rgb="FF8A4B08"/>
      <name val="SimSun"/>
      <charset val="134"/>
    </font>
    <font>
      <sz val="11"/>
      <color rgb="FF111827"/>
      <name val="SimSun"/>
      <charset val="134"/>
    </font>
    <font>
      <b/>
      <sz val="11"/>
      <color rgb="FF111827"/>
      <name val="SimSun"/>
      <charset val="134"/>
    </font>
    <font>
      <i/>
      <sz val="9"/>
      <color rgb="FF8A4B08"/>
      <name val="SimSun"/>
      <charset val="134"/>
    </font>
    <font>
      <b/>
      <sz val="11"/>
      <color rgb="FF000000"/>
      <name val="SimSun"/>
      <charset val="134"/>
    </font>
    <font>
      <sz val="11"/>
      <name val="Carlito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5F9FC"/>
      </patternFill>
    </fill>
    <fill>
      <patternFill patternType="solid">
        <fgColor rgb="FFFFF4D6"/>
      </patternFill>
    </fill>
    <fill>
      <patternFill patternType="solid">
        <fgColor rgb="FFEAF2F8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medium">
        <color rgb="FF1F2937"/>
      </bottom>
      <diagonal/>
    </border>
    <border>
      <left/>
      <right/>
      <top style="medium">
        <color rgb="FF1F2937"/>
      </top>
      <bottom style="thin">
        <color rgb="FFCBD5E1"/>
      </bottom>
      <diagonal/>
    </border>
    <border>
      <left/>
      <right/>
      <top/>
      <bottom style="medium">
        <color rgb="FF1F2937"/>
      </bottom>
      <diagonal/>
    </border>
    <border>
      <left/>
      <right style="thin">
        <color rgb="FFCBD5E1"/>
      </right>
      <top style="medium">
        <color rgb="FF1F2937"/>
      </top>
      <bottom style="thin">
        <color rgb="FFCBD5E1"/>
      </bottom>
      <diagonal/>
    </border>
    <border>
      <left/>
      <right style="thin">
        <color rgb="FFCBD5E1"/>
      </right>
      <top/>
      <bottom style="medium">
        <color rgb="FF1F2937"/>
      </bottom>
      <diagonal/>
    </border>
    <border>
      <left/>
      <right style="thin">
        <color rgb="FFCBD5E1"/>
      </right>
      <top/>
      <bottom/>
      <diagonal/>
    </border>
  </borders>
  <cellStyleXfs count="2">
    <xf numFmtId="0" fontId="0" fillId="0" borderId="0"/>
    <xf numFmtId="0" fontId="11" fillId="0" borderId="0"/>
  </cellStyleXfs>
  <cellXfs count="35">
    <xf numFmtId="0" fontId="0" fillId="0" borderId="0" xfId="0"/>
    <xf numFmtId="0" fontId="1" fillId="0" borderId="0" xfId="1" applyFont="1"/>
    <xf numFmtId="0" fontId="4" fillId="2" borderId="1" xfId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3" xfId="1" applyFont="1" applyBorder="1" applyAlignment="1">
      <alignment vertical="center"/>
    </xf>
    <xf numFmtId="176" fontId="1" fillId="0" borderId="3" xfId="1" applyNumberFormat="1" applyFont="1" applyBorder="1" applyAlignment="1">
      <alignment horizontal="right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vertical="center"/>
    </xf>
    <xf numFmtId="176" fontId="1" fillId="3" borderId="2" xfId="1" applyNumberFormat="1" applyFont="1" applyFill="1" applyBorder="1" applyAlignment="1">
      <alignment horizontal="right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vertical="center"/>
    </xf>
    <xf numFmtId="176" fontId="1" fillId="3" borderId="3" xfId="1" applyNumberFormat="1" applyFont="1" applyFill="1" applyBorder="1" applyAlignment="1">
      <alignment horizontal="right" vertical="center"/>
    </xf>
    <xf numFmtId="0" fontId="1" fillId="3" borderId="4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vertical="center"/>
    </xf>
    <xf numFmtId="176" fontId="1" fillId="3" borderId="4" xfId="1" applyNumberFormat="1" applyFont="1" applyFill="1" applyBorder="1" applyAlignment="1">
      <alignment horizontal="right" vertical="center"/>
    </xf>
    <xf numFmtId="0" fontId="5" fillId="4" borderId="3" xfId="1" applyFont="1" applyFill="1" applyBorder="1" applyAlignment="1">
      <alignment horizontal="center" vertical="center"/>
    </xf>
    <xf numFmtId="0" fontId="7" fillId="0" borderId="0" xfId="1" applyFont="1"/>
    <xf numFmtId="0" fontId="8" fillId="5" borderId="6" xfId="1" applyFont="1" applyFill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0" fontId="8" fillId="5" borderId="8" xfId="1" applyFont="1" applyFill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177" fontId="7" fillId="0" borderId="9" xfId="1" applyNumberFormat="1" applyFont="1" applyBorder="1" applyAlignment="1">
      <alignment horizontal="right" vertical="center"/>
    </xf>
    <xf numFmtId="0" fontId="7" fillId="0" borderId="8" xfId="1" applyFont="1" applyBorder="1" applyAlignment="1">
      <alignment horizontal="center" vertical="center"/>
    </xf>
    <xf numFmtId="177" fontId="7" fillId="0" borderId="6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177" fontId="10" fillId="0" borderId="0" xfId="1" applyNumberFormat="1" applyFont="1" applyAlignment="1">
      <alignment horizontal="right" vertical="center"/>
    </xf>
    <xf numFmtId="177" fontId="10" fillId="0" borderId="9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5" borderId="5" xfId="1" applyFont="1" applyFill="1" applyBorder="1" applyAlignment="1">
      <alignment horizontal="center" vertical="center"/>
    </xf>
    <xf numFmtId="0" fontId="9" fillId="4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6" fillId="4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M18"/>
  <sheetViews>
    <sheetView showGridLines="0" tabSelected="1" workbookViewId="0">
      <selection activeCell="I11" sqref="I11"/>
    </sheetView>
  </sheetViews>
  <sheetFormatPr defaultRowHeight="14.4"/>
  <cols>
    <col min="1" max="1" width="13" customWidth="1"/>
    <col min="2" max="13" width="11.44140625" customWidth="1"/>
  </cols>
  <sheetData>
    <row r="2" spans="1:13" ht="28.95" customHeight="1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22.95" customHeight="1">
      <c r="A4" s="28" t="s">
        <v>1</v>
      </c>
      <c r="B4" s="30" t="s">
        <v>2</v>
      </c>
      <c r="C4" s="30"/>
      <c r="D4" s="30"/>
      <c r="E4" s="28"/>
      <c r="F4" s="30" t="s">
        <v>3</v>
      </c>
      <c r="G4" s="30"/>
      <c r="H4" s="30"/>
      <c r="I4" s="28"/>
      <c r="J4" s="30" t="s">
        <v>4</v>
      </c>
      <c r="K4" s="30"/>
      <c r="L4" s="30"/>
      <c r="M4" s="28"/>
    </row>
    <row r="5" spans="1:13" ht="22.95" customHeight="1">
      <c r="A5" s="29"/>
      <c r="B5" s="17" t="s">
        <v>5</v>
      </c>
      <c r="C5" s="17" t="s">
        <v>6</v>
      </c>
      <c r="D5" s="17" t="s">
        <v>7</v>
      </c>
      <c r="E5" s="19" t="s">
        <v>8</v>
      </c>
      <c r="F5" s="17" t="s">
        <v>5</v>
      </c>
      <c r="G5" s="17" t="s">
        <v>6</v>
      </c>
      <c r="H5" s="17" t="s">
        <v>7</v>
      </c>
      <c r="I5" s="19" t="s">
        <v>8</v>
      </c>
      <c r="J5" s="17" t="s">
        <v>5</v>
      </c>
      <c r="K5" s="17" t="s">
        <v>6</v>
      </c>
      <c r="L5" s="17" t="s">
        <v>7</v>
      </c>
      <c r="M5" s="19" t="s">
        <v>8</v>
      </c>
    </row>
    <row r="6" spans="1:13" ht="22.05" customHeight="1">
      <c r="A6" s="20" t="s">
        <v>9</v>
      </c>
      <c r="B6" s="25">
        <f>数据明细!D6</f>
        <v>7.7836232007340262</v>
      </c>
      <c r="C6" s="25">
        <f>数据明细!E6</f>
        <v>76.339429558759079</v>
      </c>
      <c r="D6" s="25">
        <f>数据明细!F6</f>
        <v>117.75677038705155</v>
      </c>
      <c r="E6" s="26">
        <f>数据明细!G6</f>
        <v>0.92047136451913436</v>
      </c>
      <c r="F6" s="25">
        <f>数据明细!D7</f>
        <v>9.6844462839491552</v>
      </c>
      <c r="G6" s="25">
        <f>数据明细!E7</f>
        <v>90.461715131463762</v>
      </c>
      <c r="H6" s="18">
        <f>数据明细!F7</f>
        <v>138.81322235889331</v>
      </c>
      <c r="I6" s="21">
        <f>数据明细!G7</f>
        <v>0.88948693344386043</v>
      </c>
      <c r="J6" s="25">
        <f>数据明细!D8</f>
        <v>11.706390557819958</v>
      </c>
      <c r="K6" s="25">
        <f>数据明细!E8</f>
        <v>105.41287395398908</v>
      </c>
      <c r="L6" s="18">
        <f>数据明细!F8</f>
        <v>159.34114403913011</v>
      </c>
      <c r="M6" s="21">
        <f>数据明细!G8</f>
        <v>0.85438320083699537</v>
      </c>
    </row>
    <row r="7" spans="1:13" ht="22.05" customHeight="1">
      <c r="A7" s="20" t="s">
        <v>10</v>
      </c>
      <c r="B7" s="18">
        <f>数据明细!D9</f>
        <v>8.5525966879229873</v>
      </c>
      <c r="C7" s="18">
        <f>数据明细!E9</f>
        <v>85.879677380747935</v>
      </c>
      <c r="D7" s="18">
        <f>数据明细!F9</f>
        <v>127.56604924494697</v>
      </c>
      <c r="E7" s="21">
        <f>数据明细!G9</f>
        <v>0.90666984870925094</v>
      </c>
      <c r="F7" s="18">
        <f>数据明细!D10</f>
        <v>10.149118927576428</v>
      </c>
      <c r="G7" s="18">
        <f>数据明细!E10</f>
        <v>98.385674115344017</v>
      </c>
      <c r="H7" s="18">
        <f>数据明细!F10</f>
        <v>147.45863539644495</v>
      </c>
      <c r="I7" s="21">
        <f>数据明细!G10</f>
        <v>0.87529255561148034</v>
      </c>
      <c r="J7" s="18">
        <f>数据明细!D11</f>
        <v>11.992751897629923</v>
      </c>
      <c r="K7" s="18">
        <f>数据明细!E11</f>
        <v>111.97175038372599</v>
      </c>
      <c r="L7" s="18">
        <f>数据明细!F11</f>
        <v>166.57408957517086</v>
      </c>
      <c r="M7" s="21">
        <f>数据明细!G11</f>
        <v>0.84086323875157909</v>
      </c>
    </row>
    <row r="8" spans="1:13" ht="22.05" customHeight="1">
      <c r="A8" s="20" t="s">
        <v>11</v>
      </c>
      <c r="B8" s="18">
        <f>数据明细!D12</f>
        <v>8.3925168393262677</v>
      </c>
      <c r="C8" s="18">
        <f>数据明细!E12</f>
        <v>82.416927217247121</v>
      </c>
      <c r="D8" s="18">
        <f>数据明细!F12</f>
        <v>122.34237818448734</v>
      </c>
      <c r="E8" s="21">
        <f>数据明细!G12</f>
        <v>0.91415685988977136</v>
      </c>
      <c r="F8" s="18">
        <f>数据明细!D13</f>
        <v>10.185922283389775</v>
      </c>
      <c r="G8" s="18">
        <f>数据明细!E13</f>
        <v>96.781463692582278</v>
      </c>
      <c r="H8" s="18">
        <f>数据明细!F13</f>
        <v>144.19487933984649</v>
      </c>
      <c r="I8" s="21">
        <f>数据明细!G13</f>
        <v>0.88075185439431225</v>
      </c>
      <c r="J8" s="18">
        <f>数据明细!D14</f>
        <v>12.08672365933792</v>
      </c>
      <c r="K8" s="18">
        <f>数据明细!E14</f>
        <v>111.83473093814827</v>
      </c>
      <c r="L8" s="18">
        <f>数据明细!F14</f>
        <v>166.09727515518151</v>
      </c>
      <c r="M8" s="21">
        <f>数据明细!G14</f>
        <v>0.84177298530585765</v>
      </c>
    </row>
    <row r="9" spans="1:13" ht="22.05" customHeight="1">
      <c r="A9" s="20" t="s">
        <v>12</v>
      </c>
      <c r="B9" s="18">
        <f>数据明细!D15</f>
        <v>8.6676723684895638</v>
      </c>
      <c r="C9" s="18">
        <f>数据明细!E15</f>
        <v>80.414136703087905</v>
      </c>
      <c r="D9" s="18">
        <f>数据明细!F15</f>
        <v>120.2315697228554</v>
      </c>
      <c r="E9" s="21">
        <f>数据明细!G15</f>
        <v>0.91709345953306787</v>
      </c>
      <c r="F9" s="18">
        <f>数据明细!D16</f>
        <v>10.750682489077263</v>
      </c>
      <c r="G9" s="18">
        <f>数据明细!E16</f>
        <v>95.436681716848994</v>
      </c>
      <c r="H9" s="18">
        <f>数据明细!F16</f>
        <v>141.60107795161881</v>
      </c>
      <c r="I9" s="21">
        <f>数据明细!G16</f>
        <v>0.88500337959648934</v>
      </c>
      <c r="J9" s="18">
        <f>数据明细!D17</f>
        <v>12.804321088853088</v>
      </c>
      <c r="K9" s="18">
        <f>数据明细!E17</f>
        <v>110.56446379556643</v>
      </c>
      <c r="L9" s="18">
        <f>数据明细!F17</f>
        <v>162.67658914404117</v>
      </c>
      <c r="M9" s="21">
        <f>数据明细!G17</f>
        <v>0.84822308038268002</v>
      </c>
    </row>
    <row r="10" spans="1:13" ht="22.05" customHeight="1">
      <c r="A10" s="20" t="s">
        <v>13</v>
      </c>
      <c r="B10" s="18">
        <f>数据明细!D18</f>
        <v>8.6862881681163167</v>
      </c>
      <c r="C10" s="18">
        <f>数据明细!E18</f>
        <v>87.209050197881027</v>
      </c>
      <c r="D10" s="18">
        <f>数据明细!F18</f>
        <v>122.98050546498504</v>
      </c>
      <c r="E10" s="21">
        <f>数据明细!G18</f>
        <v>0.91325902364958189</v>
      </c>
      <c r="F10" s="18">
        <f>数据明细!D19</f>
        <v>10.273729380301448</v>
      </c>
      <c r="G10" s="18">
        <f>数据明细!E19</f>
        <v>100.72851391348726</v>
      </c>
      <c r="H10" s="18">
        <f>数据明细!F19</f>
        <v>144.48679314910723</v>
      </c>
      <c r="I10" s="21">
        <f>数据明细!G19</f>
        <v>0.88026854436079816</v>
      </c>
      <c r="J10" s="18">
        <f>数据明细!D20</f>
        <v>12.019996458418124</v>
      </c>
      <c r="K10" s="18">
        <f>数据明细!E20</f>
        <v>115.02377220373323</v>
      </c>
      <c r="L10" s="18">
        <f>数据明细!F20</f>
        <v>165.8443135741673</v>
      </c>
      <c r="M10" s="21">
        <f>数据明细!G20</f>
        <v>0.84225456908862473</v>
      </c>
    </row>
    <row r="11" spans="1:13" ht="22.05" customHeight="1">
      <c r="A11" s="20" t="s">
        <v>14</v>
      </c>
      <c r="B11" s="18">
        <f>数据明细!D21</f>
        <v>8.6328014045106816</v>
      </c>
      <c r="C11" s="18">
        <f>数据明细!E21</f>
        <v>85.17045994968592</v>
      </c>
      <c r="D11" s="18">
        <f>数据明细!F21</f>
        <v>123.69644728071648</v>
      </c>
      <c r="E11" s="21">
        <f>数据明细!G21</f>
        <v>0.91224614349403299</v>
      </c>
      <c r="F11" s="18">
        <f>数据明细!D22</f>
        <v>10.251626931962743</v>
      </c>
      <c r="G11" s="18">
        <f>数据明细!E22</f>
        <v>97.386386154969202</v>
      </c>
      <c r="H11" s="18">
        <f>数据明细!F22</f>
        <v>144.29936648819853</v>
      </c>
      <c r="I11" s="21">
        <f>数据明细!G22</f>
        <v>0.88057897151370157</v>
      </c>
      <c r="J11" s="18">
        <f>数据明细!D23</f>
        <v>12.118879182918263</v>
      </c>
      <c r="K11" s="18">
        <f>数据明细!E23</f>
        <v>110.79384044345592</v>
      </c>
      <c r="L11" s="18">
        <f>数据明细!F23</f>
        <v>164.41945239404728</v>
      </c>
      <c r="M11" s="21">
        <f>数据明细!G23</f>
        <v>0.84495348343421783</v>
      </c>
    </row>
    <row r="12" spans="1:13" ht="22.05" customHeight="1">
      <c r="A12" s="20" t="s">
        <v>15</v>
      </c>
      <c r="B12" s="18">
        <f>数据明细!D24</f>
        <v>8.2647428234926874</v>
      </c>
      <c r="C12" s="18">
        <f>数据明细!E24</f>
        <v>81.724732369976721</v>
      </c>
      <c r="D12" s="18">
        <f>数据明细!F24</f>
        <v>118.81340735397067</v>
      </c>
      <c r="E12" s="21">
        <f>数据明细!G24</f>
        <v>0.91903773295061619</v>
      </c>
      <c r="F12" s="18">
        <f>数据明细!D25</f>
        <v>9.8853081708745858</v>
      </c>
      <c r="G12" s="18">
        <f>数据明细!E25</f>
        <v>94.130218595618771</v>
      </c>
      <c r="H12" s="18">
        <f>数据明细!F25</f>
        <v>138.61071246147736</v>
      </c>
      <c r="I12" s="21">
        <f>数据明细!G25</f>
        <v>0.88980914576178993</v>
      </c>
      <c r="J12" s="18">
        <f>数据明细!D26</f>
        <v>11.787385173056329</v>
      </c>
      <c r="K12" s="18">
        <f>数据明细!E26</f>
        <v>108.35148023023902</v>
      </c>
      <c r="L12" s="18">
        <f>数据明细!F26</f>
        <v>158.89017169925091</v>
      </c>
      <c r="M12" s="21">
        <f>数据明细!G26</f>
        <v>0.85520629294657091</v>
      </c>
    </row>
    <row r="13" spans="1:13" ht="22.05" customHeight="1">
      <c r="A13" s="20" t="s">
        <v>16</v>
      </c>
      <c r="B13" s="18">
        <f>数据明细!D27</f>
        <v>8.318221718253227</v>
      </c>
      <c r="C13" s="18">
        <f>数据明细!E27</f>
        <v>82.545204570777457</v>
      </c>
      <c r="D13" s="18">
        <f>数据明细!F27</f>
        <v>118.36542450686184</v>
      </c>
      <c r="E13" s="21">
        <f>数据明细!G27</f>
        <v>0.91964711417646317</v>
      </c>
      <c r="F13" s="18">
        <f>数据明细!D28</f>
        <v>9.8539939104301784</v>
      </c>
      <c r="G13" s="18">
        <f>数据明细!E28</f>
        <v>94.209143111624726</v>
      </c>
      <c r="H13" s="25">
        <f>数据明细!F28</f>
        <v>137.98650712804536</v>
      </c>
      <c r="I13" s="26">
        <f>数据明细!G28</f>
        <v>0.89079935561507329</v>
      </c>
      <c r="J13" s="18">
        <f>数据明细!D29</f>
        <v>11.735153584552657</v>
      </c>
      <c r="K13" s="18">
        <f>数据明细!E29</f>
        <v>107.63488151653002</v>
      </c>
      <c r="L13" s="25">
        <f>数据明细!F29</f>
        <v>158.12905237396853</v>
      </c>
      <c r="M13" s="26">
        <f>数据明细!G29</f>
        <v>0.85659015871369837</v>
      </c>
    </row>
    <row r="14" spans="1:13" ht="22.05" customHeight="1">
      <c r="A14" s="22" t="s">
        <v>17</v>
      </c>
      <c r="B14" s="23">
        <f>数据明细!D30</f>
        <v>8.8848280937621862</v>
      </c>
      <c r="C14" s="23">
        <f>数据明细!E30</f>
        <v>89.504514038340929</v>
      </c>
      <c r="D14" s="23">
        <f>数据明细!F30</f>
        <v>133.17619822877575</v>
      </c>
      <c r="E14" s="24">
        <f>数据明细!G30</f>
        <v>0.89828032012660275</v>
      </c>
      <c r="F14" s="23">
        <f>数据明细!D31</f>
        <v>10.329835015443575</v>
      </c>
      <c r="G14" s="23">
        <f>数据明细!E31</f>
        <v>101.47805400478595</v>
      </c>
      <c r="H14" s="23">
        <f>数据明细!F31</f>
        <v>152.50310676627103</v>
      </c>
      <c r="I14" s="24">
        <f>数据明细!G31</f>
        <v>0.8666142790329614</v>
      </c>
      <c r="J14" s="23">
        <f>数据明细!D32</f>
        <v>11.876274868676012</v>
      </c>
      <c r="K14" s="23">
        <f>数据明细!E32</f>
        <v>113.78496839750896</v>
      </c>
      <c r="L14" s="23">
        <f>数据明细!F32</f>
        <v>170.60372330285324</v>
      </c>
      <c r="M14" s="24">
        <f>数据明细!G32</f>
        <v>0.83307067828941073</v>
      </c>
    </row>
    <row r="15" spans="1:13" ht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ht="25.05" customHeight="1">
      <c r="A16" s="31" t="s">
        <v>18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1:13" ht="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ht="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</sheetData>
  <mergeCells count="6">
    <mergeCell ref="A16:M16"/>
    <mergeCell ref="A2:M2"/>
    <mergeCell ref="A4:A5"/>
    <mergeCell ref="B4:E4"/>
    <mergeCell ref="F4:I4"/>
    <mergeCell ref="J4:M4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FBAD0"/>
  </sheetPr>
  <dimension ref="A2:I34"/>
  <sheetViews>
    <sheetView showGridLines="0" workbookViewId="0">
      <pane ySplit="5" topLeftCell="A24" activePane="bottomLeft" state="frozen"/>
      <selection pane="bottomLeft"/>
    </sheetView>
  </sheetViews>
  <sheetFormatPr defaultRowHeight="14.4"/>
  <cols>
    <col min="1" max="1" width="10" customWidth="1"/>
    <col min="2" max="2" width="29" customWidth="1"/>
    <col min="3" max="3" width="12" customWidth="1"/>
    <col min="4" max="7" width="14" customWidth="1"/>
    <col min="8" max="8" width="27" customWidth="1"/>
    <col min="9" max="9" width="12" customWidth="1"/>
  </cols>
  <sheetData>
    <row r="2" spans="1:9" ht="27" customHeight="1">
      <c r="A2" s="32" t="s">
        <v>19</v>
      </c>
      <c r="B2" s="32"/>
      <c r="C2" s="32"/>
      <c r="D2" s="32"/>
      <c r="E2" s="32"/>
      <c r="F2" s="32"/>
      <c r="G2" s="32"/>
      <c r="H2" s="32"/>
      <c r="I2" s="32"/>
    </row>
    <row r="3" spans="1:9" ht="19.95" customHeight="1">
      <c r="A3" s="33" t="s">
        <v>20</v>
      </c>
      <c r="B3" s="33"/>
      <c r="C3" s="33"/>
      <c r="D3" s="33"/>
      <c r="E3" s="33"/>
      <c r="F3" s="33"/>
      <c r="G3" s="33"/>
      <c r="H3" s="33"/>
      <c r="I3" s="33"/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 ht="25.05" customHeight="1">
      <c r="A5" s="2" t="s">
        <v>21</v>
      </c>
      <c r="B5" s="2" t="s">
        <v>22</v>
      </c>
      <c r="C5" s="2" t="s">
        <v>23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24</v>
      </c>
      <c r="I5" s="2" t="s">
        <v>25</v>
      </c>
    </row>
    <row r="6" spans="1:9" ht="19.95" customHeight="1">
      <c r="A6" s="6" t="s">
        <v>9</v>
      </c>
      <c r="B6" s="7" t="s">
        <v>26</v>
      </c>
      <c r="C6" s="6">
        <v>3</v>
      </c>
      <c r="D6" s="8">
        <v>7.7836232007340262</v>
      </c>
      <c r="E6" s="8">
        <v>76.339429558759079</v>
      </c>
      <c r="F6" s="8">
        <v>117.75677038705155</v>
      </c>
      <c r="G6" s="8">
        <v>0.92047136451913436</v>
      </c>
      <c r="H6" s="6" t="s">
        <v>27</v>
      </c>
      <c r="I6" s="6" t="s">
        <v>28</v>
      </c>
    </row>
    <row r="7" spans="1:9" ht="19.95" customHeight="1">
      <c r="A7" s="3" t="s">
        <v>9</v>
      </c>
      <c r="B7" s="4" t="s">
        <v>26</v>
      </c>
      <c r="C7" s="3">
        <v>6</v>
      </c>
      <c r="D7" s="5">
        <v>9.6844462839491552</v>
      </c>
      <c r="E7" s="5">
        <v>90.461715131463762</v>
      </c>
      <c r="F7" s="5">
        <v>138.81322235889331</v>
      </c>
      <c r="G7" s="5">
        <v>0.88948693344386043</v>
      </c>
      <c r="H7" s="3" t="s">
        <v>27</v>
      </c>
      <c r="I7" s="3" t="s">
        <v>28</v>
      </c>
    </row>
    <row r="8" spans="1:9" ht="19.95" customHeight="1">
      <c r="A8" s="9" t="s">
        <v>9</v>
      </c>
      <c r="B8" s="10" t="s">
        <v>26</v>
      </c>
      <c r="C8" s="9">
        <v>10</v>
      </c>
      <c r="D8" s="11">
        <v>11.706390557819958</v>
      </c>
      <c r="E8" s="11">
        <v>105.41287395398908</v>
      </c>
      <c r="F8" s="11">
        <v>159.34114403913011</v>
      </c>
      <c r="G8" s="11">
        <v>0.85438320083699537</v>
      </c>
      <c r="H8" s="9" t="s">
        <v>27</v>
      </c>
      <c r="I8" s="9" t="s">
        <v>28</v>
      </c>
    </row>
    <row r="9" spans="1:9" ht="19.95" customHeight="1">
      <c r="A9" s="3" t="s">
        <v>10</v>
      </c>
      <c r="B9" s="4" t="s">
        <v>29</v>
      </c>
      <c r="C9" s="3">
        <v>3</v>
      </c>
      <c r="D9" s="5">
        <v>8.5525966879229873</v>
      </c>
      <c r="E9" s="5">
        <v>85.879677380747935</v>
      </c>
      <c r="F9" s="5">
        <v>127.56604924494697</v>
      </c>
      <c r="G9" s="5">
        <v>0.90666984870925094</v>
      </c>
      <c r="H9" s="3" t="s">
        <v>27</v>
      </c>
      <c r="I9" s="3" t="s">
        <v>28</v>
      </c>
    </row>
    <row r="10" spans="1:9" ht="19.95" customHeight="1">
      <c r="A10" s="9" t="s">
        <v>10</v>
      </c>
      <c r="B10" s="10" t="s">
        <v>29</v>
      </c>
      <c r="C10" s="9">
        <v>6</v>
      </c>
      <c r="D10" s="11">
        <v>10.149118927576428</v>
      </c>
      <c r="E10" s="11">
        <v>98.385674115344017</v>
      </c>
      <c r="F10" s="11">
        <v>147.45863539644495</v>
      </c>
      <c r="G10" s="11">
        <v>0.87529255561148034</v>
      </c>
      <c r="H10" s="9" t="s">
        <v>27</v>
      </c>
      <c r="I10" s="9" t="s">
        <v>28</v>
      </c>
    </row>
    <row r="11" spans="1:9" ht="19.95" customHeight="1">
      <c r="A11" s="3" t="s">
        <v>10</v>
      </c>
      <c r="B11" s="4" t="s">
        <v>29</v>
      </c>
      <c r="C11" s="3">
        <v>10</v>
      </c>
      <c r="D11" s="5">
        <v>11.992751897629923</v>
      </c>
      <c r="E11" s="5">
        <v>111.97175038372599</v>
      </c>
      <c r="F11" s="5">
        <v>166.57408957517086</v>
      </c>
      <c r="G11" s="5">
        <v>0.84086323875157909</v>
      </c>
      <c r="H11" s="3" t="s">
        <v>27</v>
      </c>
      <c r="I11" s="3" t="s">
        <v>28</v>
      </c>
    </row>
    <row r="12" spans="1:9" ht="19.95" customHeight="1">
      <c r="A12" s="9" t="s">
        <v>11</v>
      </c>
      <c r="B12" s="10" t="s">
        <v>30</v>
      </c>
      <c r="C12" s="9">
        <v>3</v>
      </c>
      <c r="D12" s="11">
        <v>8.3925168393262677</v>
      </c>
      <c r="E12" s="11">
        <v>82.416927217247121</v>
      </c>
      <c r="F12" s="11">
        <v>122.34237818448734</v>
      </c>
      <c r="G12" s="11">
        <v>0.91415685988977136</v>
      </c>
      <c r="H12" s="9" t="s">
        <v>27</v>
      </c>
      <c r="I12" s="9" t="s">
        <v>28</v>
      </c>
    </row>
    <row r="13" spans="1:9" ht="19.95" customHeight="1">
      <c r="A13" s="3" t="s">
        <v>11</v>
      </c>
      <c r="B13" s="4" t="s">
        <v>30</v>
      </c>
      <c r="C13" s="3">
        <v>6</v>
      </c>
      <c r="D13" s="5">
        <v>10.185922283389775</v>
      </c>
      <c r="E13" s="5">
        <v>96.781463692582278</v>
      </c>
      <c r="F13" s="5">
        <v>144.19487933984649</v>
      </c>
      <c r="G13" s="5">
        <v>0.88075185439431225</v>
      </c>
      <c r="H13" s="3" t="s">
        <v>27</v>
      </c>
      <c r="I13" s="3" t="s">
        <v>28</v>
      </c>
    </row>
    <row r="14" spans="1:9" ht="19.95" customHeight="1">
      <c r="A14" s="9" t="s">
        <v>11</v>
      </c>
      <c r="B14" s="10" t="s">
        <v>30</v>
      </c>
      <c r="C14" s="9">
        <v>10</v>
      </c>
      <c r="D14" s="11">
        <v>12.08672365933792</v>
      </c>
      <c r="E14" s="11">
        <v>111.83473093814827</v>
      </c>
      <c r="F14" s="11">
        <v>166.09727515518151</v>
      </c>
      <c r="G14" s="11">
        <v>0.84177298530585765</v>
      </c>
      <c r="H14" s="9" t="s">
        <v>27</v>
      </c>
      <c r="I14" s="9" t="s">
        <v>28</v>
      </c>
    </row>
    <row r="15" spans="1:9" ht="19.95" customHeight="1">
      <c r="A15" s="3" t="s">
        <v>12</v>
      </c>
      <c r="B15" s="4" t="s">
        <v>31</v>
      </c>
      <c r="C15" s="3">
        <v>3</v>
      </c>
      <c r="D15" s="5">
        <v>8.6676723684895638</v>
      </c>
      <c r="E15" s="5">
        <v>80.414136703087905</v>
      </c>
      <c r="F15" s="5">
        <v>120.2315697228554</v>
      </c>
      <c r="G15" s="5">
        <v>0.91709345953306787</v>
      </c>
      <c r="H15" s="3" t="s">
        <v>27</v>
      </c>
      <c r="I15" s="3" t="s">
        <v>28</v>
      </c>
    </row>
    <row r="16" spans="1:9" ht="19.95" customHeight="1">
      <c r="A16" s="9" t="s">
        <v>12</v>
      </c>
      <c r="B16" s="10" t="s">
        <v>31</v>
      </c>
      <c r="C16" s="9">
        <v>6</v>
      </c>
      <c r="D16" s="11">
        <v>10.750682489077263</v>
      </c>
      <c r="E16" s="11">
        <v>95.436681716848994</v>
      </c>
      <c r="F16" s="11">
        <v>141.60107795161881</v>
      </c>
      <c r="G16" s="11">
        <v>0.88500337959648934</v>
      </c>
      <c r="H16" s="9" t="s">
        <v>27</v>
      </c>
      <c r="I16" s="9" t="s">
        <v>28</v>
      </c>
    </row>
    <row r="17" spans="1:9" ht="19.95" customHeight="1">
      <c r="A17" s="3" t="s">
        <v>12</v>
      </c>
      <c r="B17" s="4" t="s">
        <v>31</v>
      </c>
      <c r="C17" s="3">
        <v>10</v>
      </c>
      <c r="D17" s="5">
        <v>12.804321088853088</v>
      </c>
      <c r="E17" s="5">
        <v>110.56446379556643</v>
      </c>
      <c r="F17" s="5">
        <v>162.67658914404117</v>
      </c>
      <c r="G17" s="5">
        <v>0.84822308038268002</v>
      </c>
      <c r="H17" s="3" t="s">
        <v>27</v>
      </c>
      <c r="I17" s="3" t="s">
        <v>28</v>
      </c>
    </row>
    <row r="18" spans="1:9" ht="19.95" customHeight="1">
      <c r="A18" s="9" t="s">
        <v>32</v>
      </c>
      <c r="B18" s="10" t="s">
        <v>33</v>
      </c>
      <c r="C18" s="9">
        <v>3</v>
      </c>
      <c r="D18" s="11">
        <v>8.6862881681163167</v>
      </c>
      <c r="E18" s="11">
        <v>87.209050197881027</v>
      </c>
      <c r="F18" s="11">
        <v>122.98050546498504</v>
      </c>
      <c r="G18" s="11">
        <v>0.91325902364958189</v>
      </c>
      <c r="H18" s="15" t="s">
        <v>34</v>
      </c>
      <c r="I18" s="15" t="s">
        <v>35</v>
      </c>
    </row>
    <row r="19" spans="1:9" ht="19.95" customHeight="1">
      <c r="A19" s="3" t="s">
        <v>32</v>
      </c>
      <c r="B19" s="4" t="s">
        <v>33</v>
      </c>
      <c r="C19" s="3">
        <v>6</v>
      </c>
      <c r="D19" s="5">
        <v>10.273729380301448</v>
      </c>
      <c r="E19" s="5">
        <v>100.72851391348726</v>
      </c>
      <c r="F19" s="5">
        <v>144.48679314910723</v>
      </c>
      <c r="G19" s="5">
        <v>0.88026854436079816</v>
      </c>
      <c r="H19" s="15" t="s">
        <v>34</v>
      </c>
      <c r="I19" s="15" t="s">
        <v>35</v>
      </c>
    </row>
    <row r="20" spans="1:9" ht="19.95" customHeight="1">
      <c r="A20" s="9" t="s">
        <v>32</v>
      </c>
      <c r="B20" s="10" t="s">
        <v>33</v>
      </c>
      <c r="C20" s="9">
        <v>10</v>
      </c>
      <c r="D20" s="11">
        <v>12.019996458418124</v>
      </c>
      <c r="E20" s="11">
        <v>115.02377220373323</v>
      </c>
      <c r="F20" s="11">
        <v>165.8443135741673</v>
      </c>
      <c r="G20" s="11">
        <v>0.84225456908862473</v>
      </c>
      <c r="H20" s="15" t="s">
        <v>34</v>
      </c>
      <c r="I20" s="15" t="s">
        <v>35</v>
      </c>
    </row>
    <row r="21" spans="1:9" ht="19.95" customHeight="1">
      <c r="A21" s="3" t="s">
        <v>14</v>
      </c>
      <c r="B21" s="4" t="s">
        <v>36</v>
      </c>
      <c r="C21" s="3">
        <v>3</v>
      </c>
      <c r="D21" s="5">
        <v>8.6328014045106816</v>
      </c>
      <c r="E21" s="5">
        <v>85.17045994968592</v>
      </c>
      <c r="F21" s="5">
        <v>123.69644728071648</v>
      </c>
      <c r="G21" s="5">
        <v>0.91224614349403299</v>
      </c>
      <c r="H21" s="3" t="s">
        <v>27</v>
      </c>
      <c r="I21" s="3" t="s">
        <v>28</v>
      </c>
    </row>
    <row r="22" spans="1:9" ht="19.95" customHeight="1">
      <c r="A22" s="9" t="s">
        <v>14</v>
      </c>
      <c r="B22" s="10" t="s">
        <v>36</v>
      </c>
      <c r="C22" s="9">
        <v>6</v>
      </c>
      <c r="D22" s="11">
        <v>10.251626931962743</v>
      </c>
      <c r="E22" s="11">
        <v>97.386386154969202</v>
      </c>
      <c r="F22" s="11">
        <v>144.29936648819853</v>
      </c>
      <c r="G22" s="11">
        <v>0.88057897151370157</v>
      </c>
      <c r="H22" s="9" t="s">
        <v>27</v>
      </c>
      <c r="I22" s="9" t="s">
        <v>28</v>
      </c>
    </row>
    <row r="23" spans="1:9" ht="19.95" customHeight="1">
      <c r="A23" s="3" t="s">
        <v>14</v>
      </c>
      <c r="B23" s="4" t="s">
        <v>36</v>
      </c>
      <c r="C23" s="3">
        <v>10</v>
      </c>
      <c r="D23" s="5">
        <v>12.118879182918263</v>
      </c>
      <c r="E23" s="5">
        <v>110.79384044345592</v>
      </c>
      <c r="F23" s="5">
        <v>164.41945239404728</v>
      </c>
      <c r="G23" s="5">
        <v>0.84495348343421783</v>
      </c>
      <c r="H23" s="3" t="s">
        <v>27</v>
      </c>
      <c r="I23" s="3" t="s">
        <v>28</v>
      </c>
    </row>
    <row r="24" spans="1:9" ht="19.95" customHeight="1">
      <c r="A24" s="9" t="s">
        <v>15</v>
      </c>
      <c r="B24" s="10" t="s">
        <v>37</v>
      </c>
      <c r="C24" s="9">
        <v>3</v>
      </c>
      <c r="D24" s="11">
        <v>8.2647428234926874</v>
      </c>
      <c r="E24" s="11">
        <v>81.724732369976721</v>
      </c>
      <c r="F24" s="11">
        <v>118.81340735397067</v>
      </c>
      <c r="G24" s="11">
        <v>0.91903773295061619</v>
      </c>
      <c r="H24" s="9" t="s">
        <v>27</v>
      </c>
      <c r="I24" s="9" t="s">
        <v>28</v>
      </c>
    </row>
    <row r="25" spans="1:9" ht="19.95" customHeight="1">
      <c r="A25" s="3" t="s">
        <v>15</v>
      </c>
      <c r="B25" s="4" t="s">
        <v>37</v>
      </c>
      <c r="C25" s="3">
        <v>6</v>
      </c>
      <c r="D25" s="5">
        <v>9.8853081708745858</v>
      </c>
      <c r="E25" s="5">
        <v>94.130218595618771</v>
      </c>
      <c r="F25" s="5">
        <v>138.61071246147736</v>
      </c>
      <c r="G25" s="5">
        <v>0.88980914576178993</v>
      </c>
      <c r="H25" s="3" t="s">
        <v>27</v>
      </c>
      <c r="I25" s="3" t="s">
        <v>28</v>
      </c>
    </row>
    <row r="26" spans="1:9" ht="19.95" customHeight="1">
      <c r="A26" s="9" t="s">
        <v>15</v>
      </c>
      <c r="B26" s="10" t="s">
        <v>37</v>
      </c>
      <c r="C26" s="9">
        <v>10</v>
      </c>
      <c r="D26" s="11">
        <v>11.787385173056329</v>
      </c>
      <c r="E26" s="11">
        <v>108.35148023023902</v>
      </c>
      <c r="F26" s="11">
        <v>158.89017169925091</v>
      </c>
      <c r="G26" s="11">
        <v>0.85520629294657091</v>
      </c>
      <c r="H26" s="9" t="s">
        <v>27</v>
      </c>
      <c r="I26" s="9" t="s">
        <v>28</v>
      </c>
    </row>
    <row r="27" spans="1:9" ht="19.95" customHeight="1">
      <c r="A27" s="3" t="s">
        <v>38</v>
      </c>
      <c r="B27" s="4" t="s">
        <v>39</v>
      </c>
      <c r="C27" s="3">
        <v>3</v>
      </c>
      <c r="D27" s="5">
        <v>8.318221718253227</v>
      </c>
      <c r="E27" s="5">
        <v>82.545204570777457</v>
      </c>
      <c r="F27" s="5">
        <v>118.36542450686184</v>
      </c>
      <c r="G27" s="5">
        <v>0.91964711417646317</v>
      </c>
      <c r="H27" s="15" t="s">
        <v>34</v>
      </c>
      <c r="I27" s="15" t="s">
        <v>35</v>
      </c>
    </row>
    <row r="28" spans="1:9" ht="19.95" customHeight="1">
      <c r="A28" s="9" t="s">
        <v>38</v>
      </c>
      <c r="B28" s="10" t="s">
        <v>39</v>
      </c>
      <c r="C28" s="9">
        <v>6</v>
      </c>
      <c r="D28" s="11">
        <v>9.8539939104301784</v>
      </c>
      <c r="E28" s="11">
        <v>94.209143111624726</v>
      </c>
      <c r="F28" s="11">
        <v>137.98650712804536</v>
      </c>
      <c r="G28" s="11">
        <v>0.89079935561507329</v>
      </c>
      <c r="H28" s="15" t="s">
        <v>34</v>
      </c>
      <c r="I28" s="15" t="s">
        <v>35</v>
      </c>
    </row>
    <row r="29" spans="1:9" ht="19.95" customHeight="1">
      <c r="A29" s="3" t="s">
        <v>38</v>
      </c>
      <c r="B29" s="4" t="s">
        <v>39</v>
      </c>
      <c r="C29" s="3">
        <v>10</v>
      </c>
      <c r="D29" s="5">
        <v>11.735153584552657</v>
      </c>
      <c r="E29" s="5">
        <v>107.63488151653002</v>
      </c>
      <c r="F29" s="5">
        <v>158.12905237396853</v>
      </c>
      <c r="G29" s="5">
        <v>0.85659015871369837</v>
      </c>
      <c r="H29" s="15" t="s">
        <v>34</v>
      </c>
      <c r="I29" s="15" t="s">
        <v>35</v>
      </c>
    </row>
    <row r="30" spans="1:9" ht="19.95" customHeight="1">
      <c r="A30" s="9" t="s">
        <v>17</v>
      </c>
      <c r="B30" s="10" t="s">
        <v>40</v>
      </c>
      <c r="C30" s="9">
        <v>3</v>
      </c>
      <c r="D30" s="11">
        <v>8.8848280937621862</v>
      </c>
      <c r="E30" s="11">
        <v>89.504514038340929</v>
      </c>
      <c r="F30" s="11">
        <v>133.17619822877575</v>
      </c>
      <c r="G30" s="11">
        <v>0.89828032012660275</v>
      </c>
      <c r="H30" s="9" t="s">
        <v>27</v>
      </c>
      <c r="I30" s="9" t="s">
        <v>28</v>
      </c>
    </row>
    <row r="31" spans="1:9" ht="19.95" customHeight="1">
      <c r="A31" s="3" t="s">
        <v>17</v>
      </c>
      <c r="B31" s="4" t="s">
        <v>40</v>
      </c>
      <c r="C31" s="3">
        <v>6</v>
      </c>
      <c r="D31" s="5">
        <v>10.329835015443575</v>
      </c>
      <c r="E31" s="5">
        <v>101.47805400478595</v>
      </c>
      <c r="F31" s="5">
        <v>152.50310676627103</v>
      </c>
      <c r="G31" s="5">
        <v>0.8666142790329614</v>
      </c>
      <c r="H31" s="3" t="s">
        <v>27</v>
      </c>
      <c r="I31" s="3" t="s">
        <v>28</v>
      </c>
    </row>
    <row r="32" spans="1:9" ht="19.95" customHeight="1">
      <c r="A32" s="12" t="s">
        <v>17</v>
      </c>
      <c r="B32" s="13" t="s">
        <v>40</v>
      </c>
      <c r="C32" s="12">
        <v>10</v>
      </c>
      <c r="D32" s="14">
        <v>11.876274868676012</v>
      </c>
      <c r="E32" s="14">
        <v>113.78496839750896</v>
      </c>
      <c r="F32" s="14">
        <v>170.60372330285324</v>
      </c>
      <c r="G32" s="14">
        <v>0.83307067828941073</v>
      </c>
      <c r="H32" s="12" t="s">
        <v>27</v>
      </c>
      <c r="I32" s="12" t="s">
        <v>28</v>
      </c>
    </row>
    <row r="34" spans="1:9" ht="24" customHeight="1">
      <c r="A34" s="34" t="s">
        <v>41</v>
      </c>
      <c r="B34" s="34"/>
      <c r="C34" s="34"/>
      <c r="D34" s="34"/>
      <c r="E34" s="34"/>
      <c r="F34" s="34"/>
      <c r="G34" s="34"/>
      <c r="H34" s="34"/>
      <c r="I34" s="34"/>
    </row>
  </sheetData>
  <mergeCells count="3">
    <mergeCell ref="A2:I2"/>
    <mergeCell ref="A3:I3"/>
    <mergeCell ref="A34:I34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论文表</vt:lpstr>
      <vt:lpstr>数据明细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 好</cp:lastModifiedBy>
  <dcterms:modified xsi:type="dcterms:W3CDTF">2026-09-09T10:50:00Z</dcterms:modified>
</cp:coreProperties>
</file>